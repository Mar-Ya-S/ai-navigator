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-факт" sheetId="1" state="visible" r:id="rId1"/>
    <sheet xmlns:r="http://schemas.openxmlformats.org/officeDocument/2006/relationships" name="Для расчётов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'План-факт'!$A$1:$F$9</definedName>
    <definedName name="_xlnm._FilterDatabase" localSheetId="1" hidden="1">'Для расчётов'!$A$1:$F$9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5ABD"/>
      </patternFill>
    </fill>
    <fill>
      <patternFill patternType="solid">
        <fgColor rgb="00A20C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55" customWidth="1" min="5" max="5"/>
    <col width="25" customWidth="1" min="6" max="6"/>
  </cols>
  <sheetData>
    <row r="1">
      <c r="A1" s="1" t="inlineStr">
        <is>
          <t>Направление</t>
        </is>
      </c>
      <c r="B1" s="1" t="inlineStr">
        <is>
          <t>Владелец</t>
        </is>
      </c>
      <c r="C1" s="1" t="inlineStr">
        <is>
          <t>План, млн руб.</t>
        </is>
      </c>
      <c r="D1" s="1" t="inlineStr">
        <is>
          <t>Факт, млн руб.</t>
        </is>
      </c>
      <c r="E1" s="1" t="inlineStr">
        <is>
          <t>Комментарий</t>
        </is>
      </c>
      <c r="F1" s="1" t="inlineStr">
        <is>
          <t>Ожидаемая дата обновления</t>
        </is>
      </c>
    </row>
    <row r="2">
      <c r="A2" s="2" t="inlineStr">
        <is>
          <t>SEA</t>
        </is>
      </c>
      <c r="B2" s="2" t="inlineStr">
        <is>
          <t>Ирина</t>
        </is>
      </c>
      <c r="C2" s="2" t="n">
        <v>120</v>
      </c>
      <c r="D2" s="2" t="n">
        <v>114</v>
      </c>
      <c r="E2" s="2" t="inlineStr">
        <is>
          <t>Отклонение связано с переносом сделки</t>
        </is>
      </c>
      <c r="F2" s="2" t="inlineStr">
        <is>
          <t>2026-10-20</t>
        </is>
      </c>
    </row>
    <row r="3">
      <c r="A3" s="2" t="inlineStr">
        <is>
          <t>DSR</t>
        </is>
      </c>
      <c r="B3" s="2" t="inlineStr">
        <is>
          <t>Павел</t>
        </is>
      </c>
      <c r="C3" s="2" t="n">
        <v>85</v>
      </c>
      <c r="D3" s="2" t="n">
        <v>92</v>
      </c>
      <c r="E3" s="2" t="inlineStr">
        <is>
          <t>Рост по двум заказам</t>
        </is>
      </c>
      <c r="F3" s="2" t="inlineStr">
        <is>
          <t>2026-10-20</t>
        </is>
      </c>
    </row>
    <row r="4">
      <c r="A4" s="2" t="inlineStr">
        <is>
          <t>Cloud</t>
        </is>
      </c>
      <c r="B4" s="2" t="inlineStr">
        <is>
          <t>Ольга</t>
        </is>
      </c>
      <c r="C4" s="2" t="n">
        <v>100</v>
      </c>
      <c r="D4" s="2" t="n">
        <v>78</v>
      </c>
      <c r="E4" s="2" t="inlineStr">
        <is>
          <t>Причина требует уточнения</t>
        </is>
      </c>
      <c r="F4" s="2" t="inlineStr">
        <is>
          <t>2026-10-21</t>
        </is>
      </c>
    </row>
    <row r="5">
      <c r="A5" s="2" t="inlineStr">
        <is>
          <t>Business Solutions</t>
        </is>
      </c>
      <c r="B5" s="2" t="inlineStr">
        <is>
          <t>Дмитрий</t>
        </is>
      </c>
      <c r="C5" s="2" t="n">
        <v>60</v>
      </c>
      <c r="D5" s="2" t="n"/>
      <c r="E5" s="2" t="inlineStr">
        <is>
          <t>Факт не предоставлен</t>
        </is>
      </c>
      <c r="F5" s="2" t="inlineStr">
        <is>
          <t>2026-10-22</t>
        </is>
      </c>
    </row>
    <row r="6">
      <c r="A6" s="2" t="inlineStr">
        <is>
          <t>SAPR</t>
        </is>
      </c>
      <c r="B6" s="2" t="inlineStr">
        <is>
          <t>Елена</t>
        </is>
      </c>
      <c r="C6" s="2" t="n">
        <v>0</v>
      </c>
      <c r="D6" s="2" t="n">
        <v>12</v>
      </c>
      <c r="E6" s="2" t="inlineStr">
        <is>
          <t>План не установлен; требуется проверить базу сравнения</t>
        </is>
      </c>
      <c r="F6" s="2" t="inlineStr">
        <is>
          <t>2026-10-22</t>
        </is>
      </c>
    </row>
    <row r="7">
      <c r="A7" s="2" t="inlineStr">
        <is>
          <t>CT</t>
        </is>
      </c>
      <c r="B7" s="2" t="inlineStr">
        <is>
          <t>Максим</t>
        </is>
      </c>
      <c r="C7" s="2" t="n">
        <v>45</v>
      </c>
      <c r="D7" s="2" t="n">
        <v>41</v>
      </c>
      <c r="E7" s="2" t="inlineStr">
        <is>
          <t>Без комментария</t>
        </is>
      </c>
      <c r="F7" s="2" t="inlineStr">
        <is>
          <t>2026-10-21</t>
        </is>
      </c>
    </row>
    <row r="8">
      <c r="A8" s="2" t="inlineStr">
        <is>
          <t>DOTR</t>
        </is>
      </c>
      <c r="B8" s="2" t="inlineStr">
        <is>
          <t>Светлана</t>
        </is>
      </c>
      <c r="C8" s="2" t="n">
        <v>70</v>
      </c>
      <c r="D8" s="2" t="n">
        <v>73</v>
      </c>
      <c r="E8" s="2" t="inlineStr">
        <is>
          <t>В пределах ожидаемого диапазона</t>
        </is>
      </c>
      <c r="F8" s="2" t="inlineStr">
        <is>
          <t>2026-10-20</t>
        </is>
      </c>
    </row>
    <row r="9">
      <c r="A9" s="2" t="inlineStr">
        <is>
          <t>DBR</t>
        </is>
      </c>
      <c r="B9" s="2" t="inlineStr">
        <is>
          <t>Алексей</t>
        </is>
      </c>
      <c r="C9" s="2" t="n">
        <v>55</v>
      </c>
      <c r="D9" s="2" t="n">
        <v>48</v>
      </c>
      <c r="E9" s="2" t="inlineStr">
        <is>
          <t>Отклонение без подтверждённой причины</t>
        </is>
      </c>
      <c r="F9" s="2" t="inlineStr">
        <is>
          <t>2026-10-23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23" customWidth="1" min="5" max="5"/>
    <col width="28" customWidth="1" min="6" max="6"/>
  </cols>
  <sheetData>
    <row r="1">
      <c r="A1" s="3" t="inlineStr">
        <is>
          <t>Направление</t>
        </is>
      </c>
      <c r="B1" s="3" t="inlineStr">
        <is>
          <t>План, млн руб.</t>
        </is>
      </c>
      <c r="C1" s="3" t="inlineStr">
        <is>
          <t>Факт, млн руб.</t>
        </is>
      </c>
      <c r="D1" s="3" t="inlineStr">
        <is>
          <t>Отклонение, млн руб.</t>
        </is>
      </c>
      <c r="E1" s="3" t="inlineStr">
        <is>
          <t>Выполнение плана, %</t>
        </is>
      </c>
      <c r="F1" s="3" t="inlineStr">
        <is>
          <t>Статус проверки</t>
        </is>
      </c>
    </row>
    <row r="2">
      <c r="A2" s="2">
        <f>'План-факт'!A2</f>
        <v/>
      </c>
      <c r="B2" s="2">
        <f>'План-факт'!C2</f>
        <v/>
      </c>
      <c r="C2" s="2">
        <f>'План-факт'!D2</f>
        <v/>
      </c>
      <c r="D2" s="2">
        <f>IF(OR(B2="",C2=""),"",C2-B2)</f>
        <v/>
      </c>
      <c r="E2" s="4">
        <f>IF(OR(B2="",C2="",B2=0),"",C2/B2)</f>
        <v/>
      </c>
      <c r="F2" s="2">
        <f>IF(C2="","Нет факта",IF(B2=0,"Проверить нулевой план","Проверить комментарий"))</f>
        <v/>
      </c>
    </row>
    <row r="3">
      <c r="A3" s="2">
        <f>'План-факт'!A3</f>
        <v/>
      </c>
      <c r="B3" s="2">
        <f>'План-факт'!C3</f>
        <v/>
      </c>
      <c r="C3" s="2">
        <f>'План-факт'!D3</f>
        <v/>
      </c>
      <c r="D3" s="2">
        <f>IF(OR(B3="",C3=""),"",C3-B3)</f>
        <v/>
      </c>
      <c r="E3" s="4">
        <f>IF(OR(B3="",C3="",B3=0),"",C3/B3)</f>
        <v/>
      </c>
      <c r="F3" s="2">
        <f>IF(C3="","Нет факта",IF(B3=0,"Проверить нулевой план","Проверить комментарий"))</f>
        <v/>
      </c>
    </row>
    <row r="4">
      <c r="A4" s="2">
        <f>'План-факт'!A4</f>
        <v/>
      </c>
      <c r="B4" s="2">
        <f>'План-факт'!C4</f>
        <v/>
      </c>
      <c r="C4" s="2">
        <f>'План-факт'!D4</f>
        <v/>
      </c>
      <c r="D4" s="2">
        <f>IF(OR(B4="",C4=""),"",C4-B4)</f>
        <v/>
      </c>
      <c r="E4" s="4">
        <f>IF(OR(B4="",C4="",B4=0),"",C4/B4)</f>
        <v/>
      </c>
      <c r="F4" s="2">
        <f>IF(C4="","Нет факта",IF(B4=0,"Проверить нулевой план","Проверить комментарий"))</f>
        <v/>
      </c>
    </row>
    <row r="5">
      <c r="A5" s="2">
        <f>'План-факт'!A5</f>
        <v/>
      </c>
      <c r="B5" s="2">
        <f>'План-факт'!C5</f>
        <v/>
      </c>
      <c r="C5" s="2">
        <f>'План-факт'!D5</f>
        <v/>
      </c>
      <c r="D5" s="2">
        <f>IF(OR(B5="",C5=""),"",C5-B5)</f>
        <v/>
      </c>
      <c r="E5" s="4">
        <f>IF(OR(B5="",C5="",B5=0),"",C5/B5)</f>
        <v/>
      </c>
      <c r="F5" s="2">
        <f>IF(C5="","Нет факта",IF(B5=0,"Проверить нулевой план","Проверить комментарий"))</f>
        <v/>
      </c>
    </row>
    <row r="6">
      <c r="A6" s="2">
        <f>'План-факт'!A6</f>
        <v/>
      </c>
      <c r="B6" s="2">
        <f>'План-факт'!C6</f>
        <v/>
      </c>
      <c r="C6" s="2">
        <f>'План-факт'!D6</f>
        <v/>
      </c>
      <c r="D6" s="2">
        <f>IF(OR(B6="",C6=""),"",C6-B6)</f>
        <v/>
      </c>
      <c r="E6" s="4">
        <f>IF(OR(B6="",C6="",B6=0),"",C6/B6)</f>
        <v/>
      </c>
      <c r="F6" s="2">
        <f>IF(C6="","Нет факта",IF(B6=0,"Проверить нулевой план","Проверить комментарий"))</f>
        <v/>
      </c>
    </row>
    <row r="7">
      <c r="A7" s="2">
        <f>'План-факт'!A7</f>
        <v/>
      </c>
      <c r="B7" s="2">
        <f>'План-факт'!C7</f>
        <v/>
      </c>
      <c r="C7" s="2">
        <f>'План-факт'!D7</f>
        <v/>
      </c>
      <c r="D7" s="2">
        <f>IF(OR(B7="",C7=""),"",C7-B7)</f>
        <v/>
      </c>
      <c r="E7" s="4">
        <f>IF(OR(B7="",C7="",B7=0),"",C7/B7)</f>
        <v/>
      </c>
      <c r="F7" s="2">
        <f>IF(C7="","Нет факта",IF(B7=0,"Проверить нулевой план","Проверить комментарий"))</f>
        <v/>
      </c>
    </row>
    <row r="8">
      <c r="A8" s="2">
        <f>'План-факт'!A8</f>
        <v/>
      </c>
      <c r="B8" s="2">
        <f>'План-факт'!C8</f>
        <v/>
      </c>
      <c r="C8" s="2">
        <f>'План-факт'!D8</f>
        <v/>
      </c>
      <c r="D8" s="2">
        <f>IF(OR(B8="",C8=""),"",C8-B8)</f>
        <v/>
      </c>
      <c r="E8" s="4">
        <f>IF(OR(B8="",C8="",B8=0),"",C8/B8)</f>
        <v/>
      </c>
      <c r="F8" s="2">
        <f>IF(C8="","Нет факта",IF(B8=0,"Проверить нулевой план","Проверить комментарий"))</f>
        <v/>
      </c>
    </row>
    <row r="9">
      <c r="A9" s="2">
        <f>'План-факт'!A9</f>
        <v/>
      </c>
      <c r="B9" s="2">
        <f>'План-факт'!C9</f>
        <v/>
      </c>
      <c r="C9" s="2">
        <f>'План-факт'!D9</f>
        <v/>
      </c>
      <c r="D9" s="2">
        <f>IF(OR(B9="",C9=""),"",C9-B9)</f>
        <v/>
      </c>
      <c r="E9" s="4">
        <f>IF(OR(B9="",C9="",B9=0),"",C9/B9)</f>
        <v/>
      </c>
      <c r="F9" s="2">
        <f>IF(C9="","Нет факта",IF(B9=0,"Проверить нулевой план","Проверить комментарий"))</f>
        <v/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2" t="inlineStr">
        <is>
          <t>Цель</t>
        </is>
      </c>
      <c r="B1" s="2" t="inlineStr">
        <is>
          <t>Отработать проверку данных и план-факт анализа на учебных данных.</t>
        </is>
      </c>
    </row>
    <row r="2">
      <c r="A2" s="2" t="inlineStr">
        <is>
          <t>Важно</t>
        </is>
      </c>
      <c r="B2" s="2" t="inlineStr">
        <is>
          <t>Все данные вымышлены. Не используйте файл как реальный финансовый отчёт.</t>
        </is>
      </c>
    </row>
    <row r="3">
      <c r="A3" s="2" t="inlineStr">
        <is>
          <t>Задание 1</t>
        </is>
      </c>
      <c r="B3" s="2" t="inlineStr">
        <is>
          <t>Найдите пропуски, нулевой план и строки без достаточного комментария.</t>
        </is>
      </c>
    </row>
    <row r="4">
      <c r="A4" s="2" t="inlineStr">
        <is>
          <t>Задание 2</t>
        </is>
      </c>
      <c r="B4" s="2" t="inlineStr">
        <is>
          <t>Проверьте формулы на листе «Для расчётов».</t>
        </is>
      </c>
    </row>
    <row r="5">
      <c r="A5" s="2" t="inlineStr">
        <is>
          <t>Задание 3</t>
        </is>
      </c>
      <c r="B5" s="2" t="inlineStr">
        <is>
          <t>Составьте 3 вывода и 2 вопроса владельцам данных.</t>
        </is>
      </c>
    </row>
    <row r="6">
      <c r="A6" s="2" t="inlineStr">
        <is>
          <t>Критерий</t>
        </is>
      </c>
      <c r="B6" s="2" t="inlineStr">
        <is>
          <t>Не подменяйте пустое значение нулём; процент выполнения не рассчитывается при нулевом плане.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